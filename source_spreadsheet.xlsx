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 Lines" sheetId="1" r:id="rId4"/>
    <sheet state="visible" name="Orders" sheetId="2" r:id="rId5"/>
  </sheets>
  <definedNames/>
  <calcPr/>
  <extLst>
    <ext uri="GoogleSheetsCustomDataVersion2">
      <go:sheetsCustomData xmlns:go="http://customooxmlschemas.google.com/" r:id="rId6" roundtripDataChecksum="AB/WZiWZhhGLidGl20Vwv81d32HfxhODJ1vHJYvTAPo="/>
    </ext>
  </extLst>
</workbook>
</file>

<file path=xl/sharedStrings.xml><?xml version="1.0" encoding="utf-8"?>
<sst xmlns="http://schemas.openxmlformats.org/spreadsheetml/2006/main" count="73" uniqueCount="32">
  <si>
    <t>Order ID</t>
  </si>
  <si>
    <t>Category</t>
  </si>
  <si>
    <t>Date</t>
  </si>
  <si>
    <t># of Line Items</t>
  </si>
  <si>
    <t>Total Price</t>
  </si>
  <si>
    <t>Legend: yellow cells = edit these (Order ID, Category). Category has a dropdown: General, Vehicle, Hunting, All. Date, line count, and Total Price calculate automatically from Order Lines. Filter/sort by Category, Date, or Total Price using the arrows.</t>
  </si>
  <si>
    <t>ORD-001</t>
  </si>
  <si>
    <t>General</t>
  </si>
  <si>
    <t>Order Category</t>
  </si>
  <si>
    <t>Item Name</t>
  </si>
  <si>
    <t>Item Type</t>
  </si>
  <si>
    <t>Unit Price</t>
  </si>
  <si>
    <t>Quantity</t>
  </si>
  <si>
    <t>ORD-002</t>
  </si>
  <si>
    <t>Line Total</t>
  </si>
  <si>
    <t>Location</t>
  </si>
  <si>
    <t>Availability</t>
  </si>
  <si>
    <t>ORD-003</t>
  </si>
  <si>
    <t>Hunting</t>
  </si>
  <si>
    <t>Luxury Watch</t>
  </si>
  <si>
    <t>Jewelry</t>
  </si>
  <si>
    <t>Grand Total:</t>
  </si>
  <si>
    <t>Hawick</t>
  </si>
  <si>
    <t>Limited</t>
  </si>
  <si>
    <t>Gold Chain</t>
  </si>
  <si>
    <t>Electronics</t>
  </si>
  <si>
    <t>Vintage Camera</t>
  </si>
  <si>
    <t>Computer Monitor</t>
  </si>
  <si>
    <t>Laptop</t>
  </si>
  <si>
    <t>Tape Player</t>
  </si>
  <si>
    <t>Television</t>
  </si>
  <si>
    <t>Old Smartphone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</si>
</sst>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\$#,##0.00"/>
  </numFmts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i/>
      <sz val="9.0"/>
      <color rgb="FF666666"/>
      <name val="Arial"/>
    </font>
    <font>
      <sz val="11.0"/>
      <color theme="1"/>
      <name val="Arial"/>
    </font>
    <font>
      <b/>
      <sz val="11.0"/>
      <color theme="1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2" fillId="3" fontId="3" numFmtId="0" xfId="0" applyAlignment="1" applyBorder="1" applyFill="1" applyFont="1">
      <alignment shrinkToFit="0" vertical="bottom" wrapText="0"/>
    </xf>
    <xf borderId="2" fillId="0" fontId="3" numFmtId="164" xfId="0" applyAlignment="1" applyBorder="1" applyFont="1" applyNumberFormat="1">
      <alignment shrinkToFit="0" vertical="bottom" wrapText="0"/>
    </xf>
    <xf borderId="0" fillId="0" fontId="4" numFmtId="0" xfId="0" applyAlignment="1" applyFont="1">
      <alignment horizontal="center" readingOrder="0" shrinkToFit="0" vertical="center" wrapText="0"/>
    </xf>
    <xf borderId="2" fillId="0" fontId="3" numFmtId="0" xfId="0" applyAlignment="1" applyBorder="1" applyFont="1">
      <alignment shrinkToFit="0" vertical="bottom" wrapText="0"/>
    </xf>
    <xf borderId="2" fillId="0" fontId="3" numFmtId="165" xfId="0" applyAlignment="1" applyBorder="1" applyFont="1" applyNumberFormat="1">
      <alignment shrinkToFit="0" vertical="bottom" wrapText="0"/>
    </xf>
    <xf borderId="0" fillId="0" fontId="5" numFmtId="0" xfId="0" applyAlignment="1" applyFont="1">
      <alignment horizontal="left" readingOrder="0" shrinkToFit="0" vertical="center" wrapText="0"/>
    </xf>
    <xf borderId="2" fillId="3" fontId="3" numFmtId="0" xfId="0" applyAlignment="1" applyBorder="1" applyFill="1" applyFont="1">
      <alignment shrinkToFit="0" vertical="bottom" wrapText="0"/>
    </xf>
    <xf borderId="2" fillId="0" fontId="3" numFmtId="0" xfId="0" applyAlignment="1" applyBorder="1" applyFont="1">
      <alignment shrinkToFit="0" vertical="bottom" wrapText="0"/>
    </xf>
    <xf borderId="2" fillId="3" fontId="3" numFmtId="164" xfId="0" applyAlignment="1" applyBorder="1" applyFill="1" applyFont="1" applyNumberFormat="1">
      <alignment readingOrder="0" shrinkToFit="0" vertical="bottom" wrapText="0"/>
    </xf>
    <xf borderId="0" fillId="0" fontId="5" numFmtId="0" xfId="0" applyFont="1"/>
    <xf borderId="2" fillId="3" fontId="3" numFmtId="0" xfId="0" applyAlignment="1" applyBorder="1" applyFill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0" fillId="0" fontId="4" numFmtId="165" xfId="0" applyAlignment="1" applyFont="1" applyNumberFormat="1">
      <alignment shrinkToFit="0" vertical="bottom" wrapText="0"/>
    </xf>
    <xf borderId="2" fillId="3" fontId="3" numFmtId="165" xfId="0" applyAlignment="1" applyBorder="1" applyFill="1" applyFont="1" applyNumberFormat="1">
      <alignment readingOrder="0" shrinkToFit="0" vertical="bottom" wrapText="0"/>
    </xf>
    <xf borderId="2" fillId="3" fontId="3" numFmtId="0" xfId="0" applyAlignment="1" applyBorder="1" applyFill="1" applyFont="1">
      <alignment shrinkToFit="0" vertical="bottom" wrapText="0"/>
    </xf>
    <xf borderId="2" fillId="0" fontId="3" numFmtId="165" xfId="0" applyAlignment="1" applyBorder="1" applyFont="1" applyNumberFormat="1">
      <alignment shrinkToFit="0" vertical="bottom" wrapText="0"/>
    </xf>
    <xf borderId="0" fillId="0" fontId="5" numFmtId="0" xfId="0" applyAlignment="1" applyFont="1">
      <alignment readingOrder="0" shrinkToFit="0" vertical="center" wrapText="0"/>
    </xf>
    <xf borderId="2" fillId="3" fontId="3" numFmtId="0" xfId="0" applyAlignment="1" applyBorder="1" applyFill="1" applyFont="1">
      <alignment readingOrder="0" shrinkToFit="0" vertical="bottom" wrapText="0"/>
    </xf>
    <xf borderId="2" fillId="3" fontId="3" numFmtId="0" xfId="0" applyAlignment="1" applyBorder="1" applyFill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3" fontId="3" numFmtId="164" xfId="0" applyAlignment="1" applyFill="1" applyFont="1" applyNumberFormat="1">
      <alignment shrinkToFit="0" vertical="bottom" wrapText="0"/>
    </xf>
    <xf borderId="0" fillId="3" fontId="3" numFmtId="0" xfId="0" applyAlignment="1" applyFill="1" applyFont="1">
      <alignment shrinkToFit="0" vertical="bottom" wrapText="0"/>
    </xf>
    <xf borderId="0" fillId="3" fontId="3" numFmtId="165" xfId="0" applyAlignment="1" applyFill="1" applyFont="1" applyNumberFormat="1">
      <alignment shrinkToFit="0" vertical="bottom" wrapText="0"/>
    </xf>
    <xf borderId="0" fillId="3" fontId="3" numFmtId="0" xfId="0" applyAlignment="1" applyFill="1" applyFon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center" wrapText="0"/>
    </xf>
    <xf borderId="0" fillId="3" fontId="3" numFmtId="0" xfId="0" applyAlignment="1" applyFill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Order Lin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2" displayName="Table1" name="Table1" id="1">
  <tableColumns count="10">
    <tableColumn name="Order ID" id="1"/>
    <tableColumn name="Order Category" id="2"/>
    <tableColumn name="Date" id="3"/>
    <tableColumn name="Item Name" id="4"/>
    <tableColumn name="Item Type" id="5"/>
    <tableColumn name="Unit Price" id="6"/>
    <tableColumn name="Quantity" id="7"/>
    <tableColumn name="Line Total" id="8"/>
    <tableColumn name="Location" id="9"/>
    <tableColumn name="Availability" id="10"/>
  </tableColumns>
  <tableStyleInfo name="Order Lin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71"/>
    <col customWidth="1" min="2" max="2" width="21.71"/>
    <col customWidth="1" min="3" max="3" width="14.57"/>
    <col customWidth="1" min="4" max="4" width="27.0"/>
    <col customWidth="1" min="5" max="5" width="19.57"/>
    <col customWidth="1" min="6" max="6" width="19.71"/>
    <col customWidth="1" min="7" max="7" width="18.43"/>
    <col customWidth="1" min="8" max="8" width="19.71"/>
    <col customWidth="1" min="9" max="9" width="18.57"/>
    <col customWidth="1" min="10" max="10" width="21.71"/>
    <col customWidth="1" min="11" max="17" width="8.71"/>
  </cols>
  <sheetData>
    <row r="1" ht="22.5" customHeight="1">
      <c r="A1" s="5" t="s">
        <v>0</v>
      </c>
      <c r="B1" s="5" t="s">
        <v>8</v>
      </c>
      <c r="C1" s="5" t="s">
        <v>2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14</v>
      </c>
      <c r="I1" s="8" t="s">
        <v>15</v>
      </c>
      <c r="J1" s="8" t="s">
        <v>16</v>
      </c>
    </row>
    <row r="2" ht="22.5" customHeight="1">
      <c r="A2" s="9" t="s">
        <v>6</v>
      </c>
      <c r="B2" s="10" t="str">
        <f t="array" ref="B2">IFERROR(INDEX(Orders!$B$2:$B$4,MATCH(A2,Orders!$A$2:$A$4,0)),"")</f>
        <v>General</v>
      </c>
      <c r="C2" s="11">
        <v>46277.0</v>
      </c>
      <c r="D2" s="13" t="s">
        <v>19</v>
      </c>
      <c r="E2" s="15" t="s">
        <v>20</v>
      </c>
      <c r="F2" s="17">
        <v>471.0</v>
      </c>
      <c r="G2" s="18">
        <v>2.0</v>
      </c>
      <c r="H2" s="19">
        <f t="shared" ref="H2:H12" si="1">F2*G2</f>
        <v>942</v>
      </c>
      <c r="I2" s="20" t="s">
        <v>22</v>
      </c>
      <c r="J2" s="20" t="s">
        <v>23</v>
      </c>
    </row>
    <row r="3" ht="22.5" customHeight="1">
      <c r="A3" s="9" t="s">
        <v>6</v>
      </c>
      <c r="B3" s="10" t="str">
        <f t="array" ref="B3">IFERROR(INDEX(Orders!$B$2:$B$4,MATCH(A3,Orders!$A$2:$A$4,0)),"")</f>
        <v>General</v>
      </c>
      <c r="C3" s="11">
        <v>46277.0</v>
      </c>
      <c r="D3" s="13" t="s">
        <v>24</v>
      </c>
      <c r="E3" s="15" t="s">
        <v>20</v>
      </c>
      <c r="F3" s="17">
        <v>280.0</v>
      </c>
      <c r="G3" s="21">
        <v>6.0</v>
      </c>
      <c r="H3" s="19">
        <f t="shared" si="1"/>
        <v>1680</v>
      </c>
      <c r="I3" s="20" t="s">
        <v>22</v>
      </c>
      <c r="J3" s="20" t="s">
        <v>23</v>
      </c>
    </row>
    <row r="4" ht="22.5" customHeight="1">
      <c r="A4" s="22" t="s">
        <v>13</v>
      </c>
      <c r="B4" s="23" t="s">
        <v>25</v>
      </c>
      <c r="C4" s="11">
        <v>46277.0</v>
      </c>
      <c r="D4" s="13" t="s">
        <v>26</v>
      </c>
      <c r="E4" s="15" t="s">
        <v>25</v>
      </c>
      <c r="F4" s="17">
        <v>246.0</v>
      </c>
      <c r="G4" s="21">
        <v>1.0</v>
      </c>
      <c r="H4" s="19">
        <f t="shared" si="1"/>
        <v>246</v>
      </c>
      <c r="I4" s="20" t="s">
        <v>22</v>
      </c>
      <c r="J4" s="20" t="s">
        <v>23</v>
      </c>
    </row>
    <row r="5" ht="22.5" customHeight="1">
      <c r="A5" s="9" t="s">
        <v>13</v>
      </c>
      <c r="B5" s="23" t="s">
        <v>25</v>
      </c>
      <c r="C5" s="11">
        <v>46277.0</v>
      </c>
      <c r="D5" s="13" t="s">
        <v>27</v>
      </c>
      <c r="E5" s="15" t="s">
        <v>25</v>
      </c>
      <c r="F5" s="17">
        <v>151.0</v>
      </c>
      <c r="G5" s="21">
        <v>3.0</v>
      </c>
      <c r="H5" s="19">
        <f t="shared" si="1"/>
        <v>453</v>
      </c>
      <c r="I5" s="20" t="s">
        <v>22</v>
      </c>
      <c r="J5" s="20" t="s">
        <v>23</v>
      </c>
    </row>
    <row r="6" ht="22.5" customHeight="1">
      <c r="A6" s="9" t="s">
        <v>13</v>
      </c>
      <c r="B6" s="23" t="s">
        <v>25</v>
      </c>
      <c r="C6" s="11">
        <v>46277.0</v>
      </c>
      <c r="D6" s="13" t="s">
        <v>28</v>
      </c>
      <c r="E6" s="15" t="s">
        <v>25</v>
      </c>
      <c r="F6" s="17">
        <v>264.0</v>
      </c>
      <c r="G6" s="21">
        <v>4.0</v>
      </c>
      <c r="H6" s="19">
        <f t="shared" si="1"/>
        <v>1056</v>
      </c>
      <c r="I6" s="20" t="s">
        <v>22</v>
      </c>
      <c r="J6" s="20" t="s">
        <v>23</v>
      </c>
    </row>
    <row r="7" ht="22.5" customHeight="1">
      <c r="A7" s="22" t="s">
        <v>13</v>
      </c>
      <c r="B7" s="23" t="s">
        <v>25</v>
      </c>
      <c r="C7" s="11">
        <v>46277.0</v>
      </c>
      <c r="D7" s="13" t="s">
        <v>29</v>
      </c>
      <c r="E7" s="15" t="s">
        <v>25</v>
      </c>
      <c r="F7" s="17">
        <v>100.0</v>
      </c>
      <c r="G7" s="21">
        <v>2.0</v>
      </c>
      <c r="H7" s="19">
        <f t="shared" si="1"/>
        <v>200</v>
      </c>
      <c r="I7" s="20" t="s">
        <v>22</v>
      </c>
      <c r="J7" s="20" t="s">
        <v>23</v>
      </c>
    </row>
    <row r="8" ht="22.5" customHeight="1">
      <c r="A8" s="22" t="s">
        <v>13</v>
      </c>
      <c r="B8" s="23" t="s">
        <v>25</v>
      </c>
      <c r="C8" s="11">
        <v>46277.0</v>
      </c>
      <c r="D8" s="13" t="s">
        <v>30</v>
      </c>
      <c r="E8" s="15" t="s">
        <v>25</v>
      </c>
      <c r="F8" s="17">
        <v>494.0</v>
      </c>
      <c r="G8" s="21">
        <v>3.0</v>
      </c>
      <c r="H8" s="19">
        <f t="shared" si="1"/>
        <v>1482</v>
      </c>
      <c r="I8" s="20" t="s">
        <v>22</v>
      </c>
      <c r="J8" s="20" t="s">
        <v>23</v>
      </c>
    </row>
    <row r="9" ht="22.5" customHeight="1">
      <c r="A9" s="22" t="s">
        <v>13</v>
      </c>
      <c r="B9" s="23" t="s">
        <v>25</v>
      </c>
      <c r="C9" s="11">
        <v>46277.0</v>
      </c>
      <c r="D9" s="13" t="s">
        <v>31</v>
      </c>
      <c r="E9" s="15" t="s">
        <v>25</v>
      </c>
      <c r="F9" s="17">
        <v>209.0</v>
      </c>
      <c r="G9" s="21">
        <v>6.0</v>
      </c>
      <c r="H9" s="19">
        <f t="shared" si="1"/>
        <v>1254</v>
      </c>
      <c r="I9" s="20" t="s">
        <v>22</v>
      </c>
      <c r="J9" s="20" t="s">
        <v>23</v>
      </c>
    </row>
    <row r="10" ht="22.5" customHeight="1">
      <c r="A10" s="24" t="s">
        <v>17</v>
      </c>
      <c r="B10" s="25" t="str">
        <f t="array" ref="B10">IFERROR(INDEX(Orders!$B$2:$B$4,MATCH(A10,Orders!$A$2:$A$4,0)),"")</f>
        <v>Hunting</v>
      </c>
      <c r="C10" s="26"/>
      <c r="D10" s="27"/>
      <c r="E10" s="15" t="s">
        <v>20</v>
      </c>
      <c r="F10" s="28"/>
      <c r="G10" s="29"/>
      <c r="H10" s="30">
        <f t="shared" si="1"/>
        <v>0</v>
      </c>
      <c r="I10" s="31"/>
      <c r="J10" s="31"/>
    </row>
    <row r="11" ht="22.5" customHeight="1">
      <c r="A11" s="32"/>
      <c r="B11" s="25" t="str">
        <f t="array" ref="B11">IFERROR(INDEX(Orders!$B$2:$B$4,MATCH(A11,Orders!$A$2:$A$4,0)),"")</f>
        <v/>
      </c>
      <c r="C11" s="26"/>
      <c r="D11" s="27"/>
      <c r="E11" s="15" t="s">
        <v>20</v>
      </c>
      <c r="F11" s="28"/>
      <c r="G11" s="29"/>
      <c r="H11" s="30">
        <f t="shared" si="1"/>
        <v>0</v>
      </c>
      <c r="I11" s="31"/>
      <c r="J11" s="31"/>
    </row>
    <row r="12" ht="22.5" customHeight="1">
      <c r="A12" s="32"/>
      <c r="B12" s="25" t="str">
        <f t="array" ref="B12">IFERROR(INDEX(Orders!$B$2:$B$4,MATCH(A12,Orders!$A$2:$A$4,0)),"")</f>
        <v/>
      </c>
      <c r="C12" s="26"/>
      <c r="D12" s="27"/>
      <c r="E12" s="15" t="s">
        <v>20</v>
      </c>
      <c r="F12" s="28"/>
      <c r="G12" s="29"/>
      <c r="H12" s="30">
        <f t="shared" si="1"/>
        <v>0</v>
      </c>
      <c r="I12" s="31"/>
      <c r="J12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I2:I12">
      <formula1>"Hawick,Davis,Textile City,Vespucci Canals"</formula1>
    </dataValidation>
    <dataValidation type="list" allowBlank="1" sqref="J2:J12">
      <formula1>"Limited,Unlimited"</formula1>
    </dataValidation>
    <dataValidation type="custom" allowBlank="1" showDropDown="1" sqref="C2:C12">
      <formula1>OR(NOT(ISERROR(DATEVALUE(C2))), AND(ISNUMBER(C2), LEFT(CELL("format", C2))="D"))</formula1>
    </dataValidation>
    <dataValidation type="list" allowBlank="1" sqref="D2:D12">
      <formula1>"Vintage Camera,Computer Monitor,Laptop,Tape Player,Television,Old Smartphone,Vinyl Record,Stolen Phone,Ghetto Blaster,Microwave,Luxury Watch,Gold Chain,Bronze Medal,Golden Statue,Ornate Vase,Sculpture,Ancient Artifact,Antique Coin,Crowex Watch,Diamond Ear"&amp;"rings,Vintage Watch,Sculpture,Pearl Necklace,Silver Ring,Simple Medallion,Wheel,Car Battery,Catalytic Converter,Exchaust Pipe,Duffel Bag,Guitar,Suitcase,Toolbox"</formula1>
    </dataValidation>
    <dataValidation type="list" allowBlank="1" sqref="E2:E12">
      <formula1>"Jewelry,Electronics,Art &amp; Collectibles,Valuables"</formula1>
    </dataValidation>
    <dataValidation type="custom" allowBlank="1" showDropDown="1" sqref="F2:H12">
      <formula1>AND(ISNUMBER(F2),(NOT(OR(NOT(ISERROR(DATEVALUE(F2))), AND(ISNUMBER(F2), LEFT(CELL("format", F2))="D")))))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2.0"/>
    <col customWidth="1" min="4" max="4" width="16.0"/>
    <col customWidth="1" min="5" max="5" width="14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</row>
    <row r="2">
      <c r="A2" s="3" t="s">
        <v>6</v>
      </c>
      <c r="B2" s="3" t="s">
        <v>7</v>
      </c>
      <c r="C2" s="4">
        <f>MINIFS('Order Lines'!$C$2:$C$12,'Order Lines'!$A$2:$A$12,A2)</f>
        <v>46277</v>
      </c>
      <c r="D2" s="6">
        <f>COUNTIF('Order Lines'!$A$2:$A$12,A2)</f>
        <v>2</v>
      </c>
      <c r="E2" s="7">
        <f>SUMIF('Order Lines'!$A$2:$A$12,A2,'Order Lines'!$H$2:$H$12)</f>
        <v>2622</v>
      </c>
    </row>
    <row r="3">
      <c r="A3" s="3" t="s">
        <v>13</v>
      </c>
      <c r="B3" s="3" t="s">
        <v>7</v>
      </c>
      <c r="C3" s="4">
        <f>MINIFS('Order Lines'!$C$2:$C$12,'Order Lines'!$A$2:$A$12,A3)</f>
        <v>46277</v>
      </c>
      <c r="D3" s="6">
        <f>COUNTIF('Order Lines'!$A$2:$A$12,A3)</f>
        <v>6</v>
      </c>
      <c r="E3" s="7">
        <f>SUMIF('Order Lines'!$A$2:$A$12,A3,'Order Lines'!$H$2:$H$12)</f>
        <v>4691</v>
      </c>
    </row>
    <row r="4">
      <c r="A4" s="3" t="s">
        <v>17</v>
      </c>
      <c r="B4" s="3" t="s">
        <v>18</v>
      </c>
      <c r="C4" s="4">
        <f>MINIFS('Order Lines'!$C$2:$C$12,'Order Lines'!$A$2:$A$12,A4)</f>
        <v>0</v>
      </c>
      <c r="D4" s="6">
        <f>COUNTIF('Order Lines'!$A$2:$A$12,A4)</f>
        <v>1</v>
      </c>
      <c r="E4" s="7">
        <f>SUMIF('Order Lines'!$A$2:$A$12,A4,'Order Lines'!$H$2:$H$12)</f>
        <v>0</v>
      </c>
    </row>
    <row r="5">
      <c r="B5" s="12"/>
    </row>
    <row r="6">
      <c r="B6" s="12"/>
      <c r="D6" s="14" t="s">
        <v>21</v>
      </c>
      <c r="E6" s="16">
        <f>SUM(E2:E4)</f>
        <v>7313</v>
      </c>
    </row>
    <row r="7">
      <c r="B7" s="12"/>
    </row>
    <row r="8">
      <c r="B8" s="12"/>
    </row>
    <row r="9">
      <c r="B9" s="12"/>
    </row>
    <row r="10">
      <c r="B10" s="12"/>
    </row>
    <row r="11">
      <c r="B11" s="12"/>
    </row>
    <row r="12">
      <c r="B12" s="12"/>
    </row>
    <row r="13">
      <c r="B13" s="12"/>
    </row>
    <row r="14">
      <c r="B14" s="12"/>
    </row>
    <row r="15">
      <c r="B15" s="12"/>
    </row>
    <row r="16">
      <c r="B16" s="12"/>
    </row>
    <row r="17">
      <c r="B17" s="12"/>
    </row>
    <row r="18">
      <c r="B18" s="12"/>
    </row>
    <row r="19">
      <c r="B19" s="12"/>
    </row>
    <row r="20">
      <c r="B20" s="12"/>
    </row>
    <row r="21" ht="15.75" customHeight="1">
      <c r="B21" s="12"/>
    </row>
    <row r="22" ht="15.75" customHeight="1">
      <c r="B22" s="12"/>
    </row>
    <row r="23" ht="15.75" customHeight="1">
      <c r="B23" s="12"/>
    </row>
    <row r="24" ht="15.75" customHeight="1">
      <c r="B24" s="12"/>
    </row>
    <row r="25" ht="15.75" customHeight="1">
      <c r="B25" s="12"/>
    </row>
    <row r="26" ht="15.75" customHeight="1">
      <c r="B26" s="12"/>
    </row>
    <row r="27" ht="15.75" customHeight="1">
      <c r="B27" s="12"/>
    </row>
    <row r="28" ht="15.75" customHeight="1">
      <c r="B28" s="12"/>
    </row>
    <row r="29" ht="15.75" customHeight="1">
      <c r="B29" s="12"/>
    </row>
    <row r="30" ht="15.75" customHeight="1">
      <c r="B30" s="12"/>
    </row>
    <row r="31" ht="15.75" customHeight="1">
      <c r="B31" s="12"/>
    </row>
    <row r="32" ht="15.75" customHeight="1">
      <c r="B32" s="12"/>
    </row>
    <row r="33" ht="15.75" customHeight="1">
      <c r="B33" s="12"/>
    </row>
    <row r="34" ht="15.75" customHeight="1">
      <c r="B34" s="12"/>
    </row>
    <row r="35" ht="15.75" customHeight="1">
      <c r="B35" s="12"/>
    </row>
    <row r="36" ht="15.75" customHeight="1">
      <c r="B36" s="12"/>
    </row>
    <row r="37" ht="15.75" customHeight="1">
      <c r="B37" s="12"/>
    </row>
    <row r="38" ht="15.75" customHeight="1">
      <c r="B38" s="12"/>
    </row>
    <row r="39" ht="15.75" customHeight="1">
      <c r="B39" s="12"/>
    </row>
    <row r="40" ht="15.75" customHeight="1">
      <c r="B40" s="12"/>
    </row>
    <row r="41" ht="15.75" customHeight="1">
      <c r="B41" s="12"/>
    </row>
    <row r="42" ht="15.75" customHeight="1">
      <c r="B42" s="12"/>
    </row>
    <row r="43" ht="15.75" customHeight="1">
      <c r="B43" s="12"/>
    </row>
    <row r="44" ht="15.75" customHeight="1">
      <c r="B44" s="12"/>
    </row>
    <row r="45" ht="15.75" customHeight="1">
      <c r="B45" s="12"/>
    </row>
    <row r="46" ht="15.75" customHeight="1">
      <c r="B46" s="12"/>
    </row>
    <row r="47" ht="15.75" customHeight="1">
      <c r="B47" s="12"/>
    </row>
    <row r="48" ht="15.75" customHeight="1">
      <c r="B48" s="12"/>
    </row>
    <row r="49" ht="15.75" customHeight="1">
      <c r="B49" s="12"/>
    </row>
    <row r="50" ht="15.75" customHeight="1">
      <c r="B50" s="12"/>
    </row>
    <row r="51" ht="15.75" customHeight="1">
      <c r="B51" s="12"/>
    </row>
    <row r="52" ht="15.75" customHeight="1">
      <c r="B52" s="12"/>
    </row>
    <row r="53" ht="15.75" customHeight="1">
      <c r="B53" s="12"/>
    </row>
    <row r="54" ht="15.75" customHeight="1">
      <c r="B54" s="12"/>
    </row>
    <row r="55" ht="15.75" customHeight="1">
      <c r="B55" s="12"/>
    </row>
    <row r="56" ht="15.75" customHeight="1">
      <c r="B56" s="12"/>
    </row>
    <row r="57" ht="15.75" customHeight="1">
      <c r="B57" s="12"/>
    </row>
    <row r="58" ht="15.75" customHeight="1">
      <c r="B58" s="12"/>
    </row>
    <row r="59" ht="15.75" customHeight="1">
      <c r="B59" s="12"/>
    </row>
    <row r="60" ht="15.75" customHeight="1">
      <c r="B60" s="12"/>
    </row>
    <row r="61" ht="15.75" customHeight="1">
      <c r="B61" s="12"/>
    </row>
    <row r="62" ht="15.75" customHeight="1">
      <c r="B62" s="12"/>
    </row>
    <row r="63" ht="15.75" customHeight="1">
      <c r="B63" s="12"/>
    </row>
    <row r="64" ht="15.75" customHeight="1">
      <c r="B64" s="12"/>
    </row>
    <row r="65" ht="15.75" customHeight="1">
      <c r="B65" s="12"/>
    </row>
    <row r="66" ht="15.75" customHeight="1">
      <c r="B66" s="12"/>
    </row>
    <row r="67" ht="15.75" customHeight="1">
      <c r="B67" s="12"/>
    </row>
    <row r="68" ht="15.75" customHeight="1">
      <c r="B68" s="12"/>
    </row>
    <row r="69" ht="15.75" customHeight="1">
      <c r="B69" s="12"/>
    </row>
    <row r="70" ht="15.75" customHeight="1">
      <c r="B70" s="12"/>
    </row>
    <row r="71" ht="15.75" customHeight="1">
      <c r="B71" s="12"/>
    </row>
    <row r="72" ht="15.75" customHeight="1">
      <c r="B72" s="12"/>
    </row>
    <row r="73" ht="15.75" customHeight="1">
      <c r="B73" s="12"/>
    </row>
    <row r="74" ht="15.75" customHeight="1">
      <c r="B74" s="12"/>
    </row>
    <row r="75" ht="15.75" customHeight="1">
      <c r="B75" s="12"/>
    </row>
    <row r="76" ht="15.75" customHeight="1">
      <c r="B76" s="12"/>
    </row>
    <row r="77" ht="15.75" customHeight="1">
      <c r="B77" s="12"/>
    </row>
    <row r="78" ht="15.75" customHeight="1">
      <c r="B78" s="12"/>
    </row>
    <row r="79" ht="15.75" customHeight="1">
      <c r="B79" s="12"/>
    </row>
    <row r="80" ht="15.75" customHeight="1">
      <c r="B80" s="12"/>
    </row>
    <row r="81" ht="15.75" customHeight="1">
      <c r="B81" s="12"/>
    </row>
    <row r="82" ht="15.75" customHeight="1">
      <c r="B82" s="12"/>
    </row>
    <row r="83" ht="15.75" customHeight="1">
      <c r="B83" s="12"/>
    </row>
    <row r="84" ht="15.75" customHeight="1">
      <c r="B84" s="12"/>
    </row>
    <row r="85" ht="15.75" customHeight="1">
      <c r="B85" s="12"/>
    </row>
    <row r="86" ht="15.75" customHeight="1">
      <c r="B86" s="12"/>
    </row>
    <row r="87" ht="15.75" customHeight="1">
      <c r="B87" s="12"/>
    </row>
    <row r="88" ht="15.75" customHeight="1">
      <c r="B88" s="12"/>
    </row>
    <row r="89" ht="15.75" customHeight="1">
      <c r="B89" s="12"/>
    </row>
    <row r="90" ht="15.75" customHeight="1">
      <c r="B90" s="12"/>
    </row>
    <row r="91" ht="15.75" customHeight="1">
      <c r="B91" s="12"/>
    </row>
    <row r="92" ht="15.75" customHeight="1">
      <c r="B92" s="12"/>
    </row>
    <row r="93" ht="15.75" customHeight="1">
      <c r="B93" s="12"/>
    </row>
    <row r="94" ht="15.75" customHeight="1">
      <c r="B94" s="12"/>
    </row>
    <row r="95" ht="15.75" customHeight="1">
      <c r="B95" s="12"/>
    </row>
    <row r="96" ht="15.75" customHeight="1">
      <c r="B96" s="12"/>
    </row>
    <row r="97" ht="15.75" customHeight="1">
      <c r="B97" s="12"/>
    </row>
    <row r="98" ht="15.75" customHeight="1">
      <c r="B98" s="12"/>
    </row>
    <row r="99" ht="15.75" customHeight="1">
      <c r="B99" s="12"/>
    </row>
    <row r="100" ht="15.75" customHeight="1">
      <c r="B100" s="12"/>
    </row>
    <row r="101" ht="15.75" customHeight="1">
      <c r="B101" s="12"/>
    </row>
    <row r="102" ht="15.75" customHeight="1">
      <c r="B102" s="12"/>
    </row>
    <row r="103" ht="15.75" customHeight="1">
      <c r="B103" s="12"/>
    </row>
    <row r="104" ht="15.75" customHeight="1">
      <c r="B104" s="12"/>
    </row>
    <row r="105" ht="15.75" customHeight="1">
      <c r="B105" s="12"/>
    </row>
    <row r="106" ht="15.75" customHeight="1">
      <c r="B106" s="12"/>
    </row>
    <row r="107" ht="15.75" customHeight="1">
      <c r="B107" s="12"/>
    </row>
    <row r="108" ht="15.75" customHeight="1">
      <c r="B108" s="12"/>
    </row>
    <row r="109" ht="15.75" customHeight="1">
      <c r="B109" s="12"/>
    </row>
    <row r="110" ht="15.75" customHeight="1">
      <c r="B110" s="12"/>
    </row>
    <row r="111" ht="15.75" customHeight="1">
      <c r="B111" s="12"/>
    </row>
    <row r="112" ht="15.75" customHeight="1">
      <c r="B112" s="12"/>
    </row>
    <row r="113" ht="15.75" customHeight="1">
      <c r="B113" s="12"/>
    </row>
    <row r="114" ht="15.75" customHeight="1">
      <c r="B114" s="12"/>
    </row>
    <row r="115" ht="15.75" customHeight="1">
      <c r="B115" s="12"/>
    </row>
    <row r="116" ht="15.75" customHeight="1">
      <c r="B116" s="12"/>
    </row>
    <row r="117" ht="15.75" customHeight="1">
      <c r="B117" s="12"/>
    </row>
    <row r="118" ht="15.75" customHeight="1">
      <c r="B118" s="12"/>
    </row>
    <row r="119" ht="15.75" customHeight="1">
      <c r="B119" s="12"/>
    </row>
    <row r="120" ht="15.75" customHeight="1">
      <c r="B120" s="12"/>
    </row>
    <row r="121" ht="15.75" customHeight="1">
      <c r="B121" s="12"/>
    </row>
    <row r="122" ht="15.75" customHeight="1">
      <c r="B122" s="12"/>
    </row>
    <row r="123" ht="15.75" customHeight="1">
      <c r="B123" s="12"/>
    </row>
    <row r="124" ht="15.75" customHeight="1">
      <c r="B124" s="12"/>
    </row>
    <row r="125" ht="15.75" customHeight="1">
      <c r="B125" s="12"/>
    </row>
    <row r="126" ht="15.75" customHeight="1">
      <c r="B126" s="12"/>
    </row>
    <row r="127" ht="15.75" customHeight="1">
      <c r="B127" s="12"/>
    </row>
    <row r="128" ht="15.75" customHeight="1">
      <c r="B128" s="12"/>
    </row>
    <row r="129" ht="15.75" customHeight="1">
      <c r="B129" s="12"/>
    </row>
    <row r="130" ht="15.75" customHeight="1">
      <c r="B130" s="12"/>
    </row>
    <row r="131" ht="15.75" customHeight="1">
      <c r="B131" s="12"/>
    </row>
    <row r="132" ht="15.75" customHeight="1">
      <c r="B132" s="12"/>
    </row>
    <row r="133" ht="15.75" customHeight="1">
      <c r="B133" s="12"/>
    </row>
    <row r="134" ht="15.75" customHeight="1">
      <c r="B134" s="12"/>
    </row>
    <row r="135" ht="15.75" customHeight="1">
      <c r="B135" s="12"/>
    </row>
    <row r="136" ht="15.75" customHeight="1">
      <c r="B136" s="12"/>
    </row>
    <row r="137" ht="15.75" customHeight="1">
      <c r="B137" s="12"/>
    </row>
    <row r="138" ht="15.75" customHeight="1">
      <c r="B138" s="12"/>
    </row>
    <row r="139" ht="15.75" customHeight="1">
      <c r="B139" s="12"/>
    </row>
    <row r="140" ht="15.75" customHeight="1">
      <c r="B140" s="12"/>
    </row>
    <row r="141" ht="15.75" customHeight="1">
      <c r="B141" s="12"/>
    </row>
    <row r="142" ht="15.75" customHeight="1">
      <c r="B142" s="12"/>
    </row>
    <row r="143" ht="15.75" customHeight="1">
      <c r="B143" s="12"/>
    </row>
    <row r="144" ht="15.75" customHeight="1">
      <c r="B144" s="12"/>
    </row>
    <row r="145" ht="15.75" customHeight="1">
      <c r="B145" s="12"/>
    </row>
    <row r="146" ht="15.75" customHeight="1">
      <c r="B146" s="12"/>
    </row>
    <row r="147" ht="15.75" customHeight="1">
      <c r="B147" s="12"/>
    </row>
    <row r="148" ht="15.75" customHeight="1">
      <c r="B148" s="12"/>
    </row>
    <row r="149" ht="15.75" customHeight="1">
      <c r="B149" s="12"/>
    </row>
    <row r="150" ht="15.75" customHeight="1">
      <c r="B150" s="12"/>
    </row>
    <row r="151" ht="15.75" customHeight="1">
      <c r="B151" s="12"/>
    </row>
    <row r="152" ht="15.75" customHeight="1">
      <c r="B152" s="12"/>
    </row>
    <row r="153" ht="15.75" customHeight="1">
      <c r="B153" s="12"/>
    </row>
    <row r="154" ht="15.75" customHeight="1">
      <c r="B154" s="12"/>
    </row>
    <row r="155" ht="15.75" customHeight="1">
      <c r="B155" s="12"/>
    </row>
    <row r="156" ht="15.75" customHeight="1">
      <c r="B156" s="12"/>
    </row>
    <row r="157" ht="15.75" customHeight="1">
      <c r="B157" s="12"/>
    </row>
    <row r="158" ht="15.75" customHeight="1">
      <c r="B158" s="12"/>
    </row>
    <row r="159" ht="15.75" customHeight="1">
      <c r="B159" s="12"/>
    </row>
    <row r="160" ht="15.75" customHeight="1">
      <c r="B160" s="12"/>
    </row>
    <row r="161" ht="15.75" customHeight="1">
      <c r="B161" s="12"/>
    </row>
    <row r="162" ht="15.75" customHeight="1">
      <c r="B162" s="12"/>
    </row>
    <row r="163" ht="15.75" customHeight="1">
      <c r="B163" s="12"/>
    </row>
    <row r="164" ht="15.75" customHeight="1">
      <c r="B164" s="12"/>
    </row>
    <row r="165" ht="15.75" customHeight="1">
      <c r="B165" s="12"/>
    </row>
    <row r="166" ht="15.75" customHeight="1">
      <c r="B166" s="12"/>
    </row>
    <row r="167" ht="15.75" customHeight="1">
      <c r="B167" s="12"/>
    </row>
    <row r="168" ht="15.75" customHeight="1">
      <c r="B168" s="12"/>
    </row>
    <row r="169" ht="15.75" customHeight="1">
      <c r="B169" s="12"/>
    </row>
    <row r="170" ht="15.75" customHeight="1">
      <c r="B170" s="12"/>
    </row>
    <row r="171" ht="15.75" customHeight="1">
      <c r="B171" s="12"/>
    </row>
    <row r="172" ht="15.75" customHeight="1">
      <c r="B172" s="12"/>
    </row>
    <row r="173" ht="15.75" customHeight="1">
      <c r="B173" s="12"/>
    </row>
    <row r="174" ht="15.75" customHeight="1">
      <c r="B174" s="12"/>
    </row>
    <row r="175" ht="15.75" customHeight="1">
      <c r="B175" s="12"/>
    </row>
    <row r="176" ht="15.75" customHeight="1">
      <c r="B176" s="12"/>
    </row>
    <row r="177" ht="15.75" customHeight="1">
      <c r="B177" s="12"/>
    </row>
    <row r="178" ht="15.75" customHeight="1">
      <c r="B178" s="12"/>
    </row>
    <row r="179" ht="15.75" customHeight="1">
      <c r="B179" s="12"/>
    </row>
    <row r="180" ht="15.75" customHeight="1">
      <c r="B180" s="12"/>
    </row>
    <row r="181" ht="15.75" customHeight="1">
      <c r="B181" s="12"/>
    </row>
    <row r="182" ht="15.75" customHeight="1">
      <c r="B182" s="12"/>
    </row>
    <row r="183" ht="15.75" customHeight="1">
      <c r="B183" s="12"/>
    </row>
    <row r="184" ht="15.75" customHeight="1">
      <c r="B184" s="12"/>
    </row>
    <row r="185" ht="15.75" customHeight="1">
      <c r="B185" s="12"/>
    </row>
    <row r="186" ht="15.75" customHeight="1">
      <c r="B186" s="12"/>
    </row>
    <row r="187" ht="15.75" customHeight="1">
      <c r="B187" s="12"/>
    </row>
    <row r="188" ht="15.75" customHeight="1">
      <c r="B188" s="12"/>
    </row>
    <row r="189" ht="15.75" customHeight="1">
      <c r="B189" s="12"/>
    </row>
    <row r="190" ht="15.75" customHeight="1">
      <c r="B190" s="12"/>
    </row>
    <row r="191" ht="15.75" customHeight="1">
      <c r="B191" s="12"/>
    </row>
    <row r="192" ht="15.75" customHeight="1">
      <c r="B192" s="12"/>
    </row>
    <row r="193" ht="15.75" customHeight="1">
      <c r="B193" s="12"/>
    </row>
    <row r="194" ht="15.75" customHeight="1">
      <c r="B194" s="12"/>
    </row>
    <row r="195" ht="15.75" customHeight="1">
      <c r="B195" s="12"/>
    </row>
    <row r="196" ht="15.75" customHeight="1">
      <c r="B196" s="12"/>
    </row>
    <row r="197" ht="15.75" customHeight="1">
      <c r="B197" s="12"/>
    </row>
    <row r="198" ht="15.75" customHeight="1">
      <c r="B198" s="12"/>
    </row>
    <row r="199" ht="15.75" customHeight="1">
      <c r="B199" s="12"/>
    </row>
    <row r="200" ht="15.75" customHeight="1">
      <c r="B200" s="1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1:N1"/>
  </mergeCells>
  <dataValidations>
    <dataValidation type="list" allowBlank="1" sqref="B2:B200">
      <formula1>"General,Vehicle,Hunting,All"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2026-09-12T05:27:06Z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